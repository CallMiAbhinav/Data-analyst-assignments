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hin\Desktop\assignments\DATA ANALYST\EXCEL ASSIGNMENTS\assignment 1\"/>
    </mc:Choice>
  </mc:AlternateContent>
  <xr:revisionPtr revIDLastSave="0" documentId="13_ncr:1_{C9C05000-2128-4B3E-80F4-01D846141F4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1" sheetId="1" r:id="rId1"/>
    <sheet name="2" sheetId="2" r:id="rId2"/>
    <sheet name="Sheet1" sheetId="3" r:id="rId3"/>
    <sheet name="RECORD MACRO" sheetId="5" r:id="rId4"/>
  </sheets>
  <definedNames>
    <definedName name="QUALIFICATION">Sheet1!$A$1:$A$6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5" i="1" l="1"/>
  <c r="J34" i="1"/>
  <c r="H34" i="1"/>
  <c r="J33" i="1"/>
  <c r="H33" i="1"/>
  <c r="K24" i="5"/>
  <c r="K23" i="5"/>
  <c r="K22" i="5"/>
  <c r="K21" i="5"/>
  <c r="I24" i="5"/>
  <c r="I23" i="5"/>
  <c r="I22" i="5"/>
  <c r="I21" i="5"/>
  <c r="K20" i="5"/>
  <c r="K19" i="5"/>
  <c r="K18" i="5"/>
  <c r="I20" i="5"/>
  <c r="I19" i="5"/>
  <c r="I18" i="5"/>
  <c r="K17" i="5"/>
  <c r="K16" i="5"/>
  <c r="K15" i="5"/>
  <c r="I17" i="5"/>
  <c r="I16" i="5"/>
  <c r="I15" i="5"/>
  <c r="I14" i="5"/>
  <c r="K14" i="5"/>
  <c r="K13" i="5"/>
  <c r="K12" i="5"/>
  <c r="K11" i="5"/>
  <c r="K10" i="5"/>
  <c r="I13" i="5"/>
  <c r="I12" i="5"/>
  <c r="I11" i="5"/>
  <c r="I10" i="5"/>
  <c r="J32" i="1"/>
  <c r="H32" i="1"/>
  <c r="J31" i="1"/>
  <c r="H31" i="1"/>
  <c r="J30" i="1"/>
  <c r="H30" i="1"/>
  <c r="J29" i="1"/>
  <c r="H29" i="1"/>
  <c r="J28" i="1"/>
  <c r="H28" i="1"/>
  <c r="J27" i="1"/>
  <c r="H27" i="1"/>
  <c r="J26" i="1"/>
  <c r="H26" i="1"/>
  <c r="J25" i="1"/>
  <c r="H25" i="1"/>
  <c r="J24" i="1"/>
  <c r="H24" i="1"/>
  <c r="H23" i="1"/>
  <c r="J23" i="1"/>
  <c r="H22" i="1"/>
  <c r="J22" i="1"/>
  <c r="H21" i="1"/>
  <c r="H20" i="1"/>
  <c r="J21" i="1"/>
  <c r="J20" i="1"/>
  <c r="J19" i="1"/>
  <c r="H19" i="1"/>
  <c r="H18" i="1"/>
  <c r="H17" i="1"/>
  <c r="J18" i="1"/>
  <c r="H16" i="1"/>
  <c r="H15" i="1"/>
  <c r="J17" i="1"/>
  <c r="J16" i="1"/>
  <c r="J15" i="1"/>
  <c r="J14" i="1"/>
  <c r="J13" i="1"/>
  <c r="H14" i="1"/>
  <c r="H13" i="1"/>
  <c r="J12" i="1"/>
  <c r="J11" i="1"/>
  <c r="J10" i="1"/>
  <c r="H12" i="1"/>
  <c r="H11" i="1"/>
  <c r="H10" i="1"/>
  <c r="J9" i="1"/>
  <c r="H9" i="1"/>
</calcChain>
</file>

<file path=xl/sharedStrings.xml><?xml version="1.0" encoding="utf-8"?>
<sst xmlns="http://schemas.openxmlformats.org/spreadsheetml/2006/main" count="153" uniqueCount="68">
  <si>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</si>
  <si>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</si>
  <si>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</si>
  <si>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</si>
  <si>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</si>
  <si>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</si>
  <si>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</si>
  <si>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</si>
  <si>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</si>
  <si>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</si>
  <si>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</si>
  <si>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</si>
  <si>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</si>
  <si>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</si>
  <si>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</si>
  <si>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</si>
  <si>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</si>
  <si>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</si>
  <si>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</si>
  <si>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</si>
  <si>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</si>
  <si>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FIRST NAME</t>
  </si>
  <si>
    <t>LAST NAME</t>
  </si>
  <si>
    <t>JOINING DATE</t>
  </si>
  <si>
    <t>CONTACT NO</t>
  </si>
  <si>
    <t>QUALIFICATION</t>
  </si>
  <si>
    <t>EMAIL ID</t>
  </si>
  <si>
    <t>AGE</t>
  </si>
  <si>
    <t>B.E</t>
  </si>
  <si>
    <t>COMMERCE</t>
  </si>
  <si>
    <t>B.S.C</t>
  </si>
  <si>
    <t>M.B.A</t>
  </si>
  <si>
    <t>ARTS</t>
  </si>
  <si>
    <t>ARMY</t>
  </si>
  <si>
    <t>SR.NO</t>
  </si>
  <si>
    <t>ABHINAV</t>
  </si>
  <si>
    <t>KUMBALWAR</t>
  </si>
  <si>
    <t>abhinavrajukumbalwar@gmail.com</t>
  </si>
  <si>
    <t>AMAN</t>
  </si>
  <si>
    <t>SHRIVASTAVA</t>
  </si>
  <si>
    <t>14/9/2023</t>
  </si>
  <si>
    <t>AMAN@GMAIL.COM</t>
  </si>
  <si>
    <t>YUSUF</t>
  </si>
  <si>
    <t>BAIG</t>
  </si>
  <si>
    <t>14/8/2022</t>
  </si>
  <si>
    <t>yusufbaig3324@gmail.com</t>
  </si>
  <si>
    <t>ATHARVA</t>
  </si>
  <si>
    <t>ATHARVA@GMAIL.COM</t>
  </si>
  <si>
    <t>HARSHAL</t>
  </si>
  <si>
    <t>BAWANKAR</t>
  </si>
  <si>
    <t>15-08-2024</t>
  </si>
  <si>
    <t>HARSHAL@GAMIL.COM</t>
  </si>
  <si>
    <t>SAMAY</t>
  </si>
  <si>
    <t>SAMAY@GMAIL.COM</t>
  </si>
  <si>
    <t>TUSHAR</t>
  </si>
  <si>
    <t>WAGH</t>
  </si>
  <si>
    <t>14/5/2023</t>
  </si>
  <si>
    <t>TUSHAR@GMAIL.COM</t>
  </si>
  <si>
    <t>MACRO NAME</t>
  </si>
  <si>
    <t>sales_amount1</t>
  </si>
  <si>
    <t>profit1</t>
  </si>
  <si>
    <t>SHORTCUT</t>
  </si>
  <si>
    <t>ctrl+b</t>
  </si>
  <si>
    <t>ctrl+p</t>
  </si>
  <si>
    <t>SOUMYA</t>
  </si>
  <si>
    <t>SWAIN</t>
  </si>
  <si>
    <t>25/08/2023</t>
  </si>
  <si>
    <t>SOUMYA@GMAIL.COM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</si>
</sst>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6</xdr:row>
          <xdr:rowOff>160020</xdr:rowOff>
        </xdr:from>
        <xdr:to>
          <xdr:col>15</xdr:col>
          <xdr:colOff>601980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SALES 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12</xdr:row>
          <xdr:rowOff>7620</xdr:rowOff>
        </xdr:from>
        <xdr:to>
          <xdr:col>16</xdr:col>
          <xdr:colOff>15240</xdr:colOff>
          <xdr:row>15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6</xdr:row>
          <xdr:rowOff>15240</xdr:rowOff>
        </xdr:from>
        <xdr:to>
          <xdr:col>14</xdr:col>
          <xdr:colOff>0</xdr:colOff>
          <xdr:row>12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CLICK HERE TO FILL THE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abhinavrajukumbalwar@gmail.com" TargetMode="Externa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topLeftCell="A7" workbookViewId="0">
      <selection activeCell="H36" sqref="H36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21" si="0">E10*F10</f>
        <v>6011.76</v>
      </c>
      <c r="I10">
        <v>0.6</v>
      </c>
      <c r="J10">
        <f t="shared" ref="J10:J22" si="1">(E10*I10) - G10</f>
        <v>-18.8</v>
      </c>
    </row>
    <row r="11" spans="3:10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208.56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1259.04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22.959999999999997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13.12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14.32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30.939999999999998</v>
      </c>
      <c r="I16">
        <v>0.38</v>
      </c>
      <c r="J16">
        <f t="shared" si="1"/>
        <v>-2.33</v>
      </c>
    </row>
    <row r="17" spans="3:10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359.4</v>
      </c>
      <c r="I17">
        <v>0.4</v>
      </c>
      <c r="J17">
        <f t="shared" si="1"/>
        <v>-2.66</v>
      </c>
    </row>
    <row r="18" spans="3:10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17.88</v>
      </c>
      <c r="I18">
        <v>0.39</v>
      </c>
      <c r="J18">
        <f t="shared" si="1"/>
        <v>0.75999999999999979</v>
      </c>
    </row>
    <row r="19" spans="3:10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1159.8999999999999</v>
      </c>
      <c r="I19">
        <v>0.55000000000000004</v>
      </c>
      <c r="J19">
        <f t="shared" si="1"/>
        <v>3</v>
      </c>
    </row>
    <row r="20" spans="3:10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450.16</v>
      </c>
      <c r="I20">
        <v>0.49</v>
      </c>
      <c r="J20">
        <f t="shared" si="1"/>
        <v>1.4000000000000004</v>
      </c>
    </row>
    <row r="21" spans="3:10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233.82</v>
      </c>
      <c r="I21">
        <v>0.39</v>
      </c>
      <c r="J21">
        <f t="shared" si="1"/>
        <v>-2.419999999999999</v>
      </c>
    </row>
    <row r="22" spans="3:10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ref="H22:H27" si="2">E22*F22</f>
        <v>1853.6000000000001</v>
      </c>
      <c r="I22">
        <v>0.49</v>
      </c>
      <c r="J22">
        <f t="shared" si="1"/>
        <v>27.369999999999997</v>
      </c>
    </row>
    <row r="23" spans="3:10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2"/>
        <v>290</v>
      </c>
      <c r="I23">
        <v>0.37</v>
      </c>
      <c r="J23">
        <f t="shared" ref="J23:J28" si="3">(E23*I23) - G23</f>
        <v>18.07</v>
      </c>
    </row>
    <row r="24" spans="3:10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2"/>
        <v>922.29</v>
      </c>
      <c r="I24">
        <v>0.39</v>
      </c>
      <c r="J24">
        <f t="shared" si="3"/>
        <v>18.25</v>
      </c>
    </row>
    <row r="25" spans="3:10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2"/>
        <v>55.48</v>
      </c>
      <c r="I25">
        <v>0.37</v>
      </c>
      <c r="J25">
        <f t="shared" si="3"/>
        <v>-13.930000000000001</v>
      </c>
    </row>
    <row r="26" spans="3:10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2"/>
        <v>1.68</v>
      </c>
      <c r="I26">
        <v>0.59</v>
      </c>
      <c r="J26">
        <f t="shared" si="3"/>
        <v>-0.98000000000000009</v>
      </c>
    </row>
    <row r="27" spans="3:10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2"/>
        <v>49.679999999999993</v>
      </c>
      <c r="I27">
        <v>0.49</v>
      </c>
      <c r="J27">
        <f t="shared" si="3"/>
        <v>-0.71999999999999975</v>
      </c>
    </row>
    <row r="28" spans="3:10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ref="H28:H34" si="4">E28*F28</f>
        <v>454.87</v>
      </c>
      <c r="I28">
        <v>0.59</v>
      </c>
      <c r="J28">
        <f t="shared" si="3"/>
        <v>-6.0000000000000497E-2</v>
      </c>
    </row>
    <row r="29" spans="3:10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4"/>
        <v>35.96</v>
      </c>
      <c r="I29">
        <v>0.4</v>
      </c>
      <c r="J29">
        <f t="shared" ref="J29:J34" si="5">(E29*I29) - G29</f>
        <v>-7.71</v>
      </c>
    </row>
    <row r="30" spans="3:10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4"/>
        <v>1007.92</v>
      </c>
      <c r="I30">
        <v>0.59</v>
      </c>
      <c r="J30">
        <f t="shared" si="5"/>
        <v>-2.9700000000000006</v>
      </c>
    </row>
    <row r="31" spans="3:10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4"/>
        <v>4531.7800000000007</v>
      </c>
      <c r="I31">
        <v>0.56000000000000005</v>
      </c>
      <c r="J31">
        <f t="shared" si="5"/>
        <v>3.33</v>
      </c>
    </row>
    <row r="32" spans="3:10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4"/>
        <v>55.120000000000005</v>
      </c>
      <c r="I32">
        <v>0.35</v>
      </c>
      <c r="J32">
        <f t="shared" si="5"/>
        <v>-0.86000000000000032</v>
      </c>
    </row>
    <row r="33" spans="3:10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4"/>
        <v>52.92</v>
      </c>
      <c r="I33">
        <v>0.57999999999999996</v>
      </c>
      <c r="J33">
        <f t="shared" si="5"/>
        <v>9.74</v>
      </c>
    </row>
    <row r="34" spans="3:10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4"/>
        <v>599.93999999999994</v>
      </c>
      <c r="I34">
        <v>0.52</v>
      </c>
      <c r="J34">
        <f t="shared" si="5"/>
        <v>-16.869999999999997</v>
      </c>
    </row>
    <row r="35" spans="3:10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H35">
        <f>E35*F35</f>
        <v>695.93999999999994</v>
      </c>
      <c r="I35">
        <v>0.56999999999999995</v>
      </c>
    </row>
    <row r="36" spans="3:10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10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10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10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10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10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es_amount">
                <anchor moveWithCells="1" sizeWithCells="1">
                  <from>
                    <xdr:col>13</xdr:col>
                    <xdr:colOff>7620</xdr:colOff>
                    <xdr:row>6</xdr:row>
                    <xdr:rowOff>160020</xdr:rowOff>
                  </from>
                  <to>
                    <xdr:col>15</xdr:col>
                    <xdr:colOff>601980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fit">
                <anchor moveWithCells="1" sizeWithCells="1">
                  <from>
                    <xdr:col>13</xdr:col>
                    <xdr:colOff>15240</xdr:colOff>
                    <xdr:row>12</xdr:row>
                    <xdr:rowOff>7620</xdr:rowOff>
                  </from>
                  <to>
                    <xdr:col>16</xdr:col>
                    <xdr:colOff>15240</xdr:colOff>
                    <xdr:row>15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A3:H15"/>
  <sheetViews>
    <sheetView topLeftCell="B1" workbookViewId="0">
      <selection activeCell="C16" sqref="C16"/>
    </sheetView>
  </sheetViews>
  <sheetFormatPr defaultRowHeight="14.4" x14ac:dyDescent="0.3"/>
  <cols>
    <col min="1" max="1" width="11" bestFit="1" customWidth="1"/>
    <col min="2" max="2" width="10.44140625" bestFit="1" customWidth="1"/>
    <col min="3" max="3" width="15.44140625" customWidth="1"/>
    <col min="4" max="4" width="12.77734375" bestFit="1" customWidth="1"/>
    <col min="5" max="5" width="13" customWidth="1"/>
    <col min="6" max="6" width="14.21875" bestFit="1" customWidth="1"/>
    <col min="7" max="7" width="30.21875" bestFit="1" customWidth="1"/>
  </cols>
  <sheetData>
    <row r="3" spans="1:8" x14ac:dyDescent="0.3">
      <c r="C3" s="1" t="s">
        <v>2</v>
      </c>
    </row>
    <row r="4" spans="1:8" x14ac:dyDescent="0.3">
      <c r="C4" s="1" t="s">
        <v>20</v>
      </c>
    </row>
    <row r="7" spans="1:8" x14ac:dyDescent="0.3">
      <c r="A7" t="s">
        <v>34</v>
      </c>
      <c r="B7" t="s">
        <v>21</v>
      </c>
      <c r="C7" t="s">
        <v>22</v>
      </c>
      <c r="D7" t="s">
        <v>23</v>
      </c>
      <c r="E7" t="s">
        <v>24</v>
      </c>
      <c r="F7" t="s">
        <v>25</v>
      </c>
      <c r="G7" t="s">
        <v>26</v>
      </c>
      <c r="H7" t="s">
        <v>27</v>
      </c>
    </row>
    <row r="8" spans="1:8" x14ac:dyDescent="0.3">
      <c r="A8">
        <v>1</v>
      </c>
      <c r="B8" t="s">
        <v>35</v>
      </c>
      <c r="C8" t="s">
        <v>36</v>
      </c>
      <c r="D8" s="2">
        <v>45058</v>
      </c>
      <c r="E8">
        <v>7447232320</v>
      </c>
      <c r="F8" t="s">
        <v>28</v>
      </c>
      <c r="G8" s="3" t="s">
        <v>37</v>
      </c>
      <c r="H8">
        <v>24</v>
      </c>
    </row>
    <row r="9" spans="1:8" x14ac:dyDescent="0.3">
      <c r="A9">
        <v>2</v>
      </c>
      <c r="B9" t="s">
        <v>38</v>
      </c>
      <c r="C9" t="s">
        <v>39</v>
      </c>
      <c r="D9" t="s">
        <v>40</v>
      </c>
      <c r="E9">
        <v>4587693654</v>
      </c>
      <c r="F9" t="s">
        <v>30</v>
      </c>
      <c r="G9" t="s">
        <v>41</v>
      </c>
      <c r="H9">
        <v>27</v>
      </c>
    </row>
    <row r="10" spans="1:8" x14ac:dyDescent="0.3">
      <c r="A10">
        <v>3</v>
      </c>
      <c r="B10" t="s">
        <v>42</v>
      </c>
      <c r="C10" t="s">
        <v>43</v>
      </c>
      <c r="D10" t="s">
        <v>44</v>
      </c>
      <c r="E10">
        <v>458796582</v>
      </c>
      <c r="F10" t="s">
        <v>33</v>
      </c>
      <c r="G10" t="s">
        <v>45</v>
      </c>
      <c r="H10">
        <v>30</v>
      </c>
    </row>
    <row r="11" spans="1:8" x14ac:dyDescent="0.3">
      <c r="A11">
        <v>4</v>
      </c>
      <c r="B11" t="s">
        <v>46</v>
      </c>
      <c r="C11" t="s">
        <v>36</v>
      </c>
      <c r="D11" s="2">
        <v>45265</v>
      </c>
      <c r="E11">
        <v>45879658</v>
      </c>
      <c r="F11" t="s">
        <v>28</v>
      </c>
      <c r="G11" t="s">
        <v>47</v>
      </c>
      <c r="H11">
        <v>26</v>
      </c>
    </row>
    <row r="12" spans="1:8" x14ac:dyDescent="0.3">
      <c r="A12">
        <v>5</v>
      </c>
      <c r="B12" t="s">
        <v>48</v>
      </c>
      <c r="C12" t="s">
        <v>49</v>
      </c>
      <c r="D12" t="s">
        <v>50</v>
      </c>
      <c r="E12">
        <v>442626595626</v>
      </c>
      <c r="F12" t="s">
        <v>28</v>
      </c>
      <c r="G12" t="s">
        <v>51</v>
      </c>
      <c r="H12">
        <v>27</v>
      </c>
    </row>
    <row r="13" spans="1:8" x14ac:dyDescent="0.3">
      <c r="A13">
        <v>6</v>
      </c>
      <c r="B13" t="s">
        <v>52</v>
      </c>
      <c r="C13" t="s">
        <v>36</v>
      </c>
      <c r="D13" s="2">
        <v>44291</v>
      </c>
      <c r="E13">
        <v>458698635</v>
      </c>
      <c r="F13" t="s">
        <v>30</v>
      </c>
      <c r="G13" t="s">
        <v>53</v>
      </c>
      <c r="H13">
        <v>30</v>
      </c>
    </row>
    <row r="14" spans="1:8" x14ac:dyDescent="0.3">
      <c r="A14">
        <v>7</v>
      </c>
      <c r="B14" t="s">
        <v>54</v>
      </c>
      <c r="C14" t="s">
        <v>55</v>
      </c>
      <c r="D14" t="s">
        <v>56</v>
      </c>
      <c r="E14">
        <v>854765451665</v>
      </c>
      <c r="F14" t="s">
        <v>31</v>
      </c>
      <c r="G14" t="s">
        <v>57</v>
      </c>
      <c r="H14">
        <v>21</v>
      </c>
    </row>
    <row r="15" spans="1:8" x14ac:dyDescent="0.3">
      <c r="A15">
        <v>8</v>
      </c>
      <c r="B15" t="s">
        <v>64</v>
      </c>
      <c r="C15" t="s">
        <v>65</v>
      </c>
      <c r="D15" t="s">
        <v>66</v>
      </c>
      <c r="E15">
        <v>54556494561561</v>
      </c>
      <c r="F15" t="s">
        <v>33</v>
      </c>
      <c r="G15" t="s">
        <v>67</v>
      </c>
      <c r="H15">
        <v>23</v>
      </c>
    </row>
  </sheetData>
  <hyperlinks>
    <hyperlink ref="G8" r:id="rId1" xr:uid="{95D309B5-74E7-4862-BA54-6211A7FB1E3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 sizeWithCells="1">
                  <from>
                    <xdr:col>10</xdr:col>
                    <xdr:colOff>22860</xdr:colOff>
                    <xdr:row>6</xdr:row>
                    <xdr:rowOff>15240</xdr:rowOff>
                  </from>
                  <to>
                    <xdr:col>14</xdr:col>
                    <xdr:colOff>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9301E-2B4D-4A99-8DDB-9011975FB085}">
  <sheetPr codeName="Sheet3"/>
  <dimension ref="A1:A6"/>
  <sheetViews>
    <sheetView workbookViewId="0">
      <selection activeCell="D10" sqref="D10"/>
    </sheetView>
  </sheetViews>
  <sheetFormatPr defaultRowHeight="14.4" x14ac:dyDescent="0.3"/>
  <sheetData>
    <row r="1" spans="1:1" x14ac:dyDescent="0.3">
      <c r="A1" t="s">
        <v>28</v>
      </c>
    </row>
    <row r="2" spans="1:1" x14ac:dyDescent="0.3">
      <c r="A2" t="s">
        <v>29</v>
      </c>
    </row>
    <row r="3" spans="1:1" x14ac:dyDescent="0.3">
      <c r="A3" t="s">
        <v>30</v>
      </c>
    </row>
    <row r="4" spans="1:1" x14ac:dyDescent="0.3">
      <c r="A4" t="s">
        <v>31</v>
      </c>
    </row>
    <row r="5" spans="1:1" x14ac:dyDescent="0.3">
      <c r="A5" t="s">
        <v>32</v>
      </c>
    </row>
    <row r="6" spans="1:1" x14ac:dyDescent="0.3">
      <c r="A6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3EDAE-2E68-464D-A34A-A2846887C9EB}">
  <sheetPr codeName="Sheet4"/>
  <dimension ref="D3:Q42"/>
  <sheetViews>
    <sheetView topLeftCell="A4" workbookViewId="0">
      <selection activeCell="K25" sqref="K25"/>
    </sheetView>
  </sheetViews>
  <sheetFormatPr defaultRowHeight="14.4" x14ac:dyDescent="0.3"/>
  <cols>
    <col min="5" max="5" width="12" bestFit="1" customWidth="1"/>
    <col min="12" max="12" width="12.21875" bestFit="1" customWidth="1"/>
    <col min="16" max="16" width="12.88671875" bestFit="1" customWidth="1"/>
    <col min="17" max="17" width="10" bestFit="1" customWidth="1"/>
  </cols>
  <sheetData>
    <row r="3" spans="4:17" x14ac:dyDescent="0.3">
      <c r="D3" s="1" t="s">
        <v>0</v>
      </c>
      <c r="J3" s="1" t="s">
        <v>19</v>
      </c>
    </row>
    <row r="4" spans="4:17" x14ac:dyDescent="0.3">
      <c r="D4" s="1" t="s">
        <v>1</v>
      </c>
    </row>
    <row r="5" spans="4:17" x14ac:dyDescent="0.3">
      <c r="D5" s="1" t="s">
        <v>16</v>
      </c>
    </row>
    <row r="6" spans="4:17" x14ac:dyDescent="0.3">
      <c r="D6" s="1" t="s">
        <v>17</v>
      </c>
    </row>
    <row r="7" spans="4:17" x14ac:dyDescent="0.3">
      <c r="D7" s="1" t="s">
        <v>18</v>
      </c>
    </row>
    <row r="9" spans="4:17" x14ac:dyDescent="0.3">
      <c r="D9" t="s">
        <v>3</v>
      </c>
      <c r="E9" t="s">
        <v>4</v>
      </c>
      <c r="F9" t="s">
        <v>11</v>
      </c>
      <c r="G9" t="s">
        <v>12</v>
      </c>
      <c r="H9" t="s">
        <v>13</v>
      </c>
      <c r="I9" t="s">
        <v>14</v>
      </c>
      <c r="J9" t="s">
        <v>15</v>
      </c>
      <c r="K9" t="s">
        <v>10</v>
      </c>
      <c r="P9" t="s">
        <v>58</v>
      </c>
      <c r="Q9" t="s">
        <v>61</v>
      </c>
    </row>
    <row r="10" spans="4:17" x14ac:dyDescent="0.3">
      <c r="D10">
        <v>20847</v>
      </c>
      <c r="E10" t="s">
        <v>5</v>
      </c>
      <c r="F10">
        <v>4</v>
      </c>
      <c r="G10">
        <v>2.84</v>
      </c>
      <c r="H10">
        <v>0.93</v>
      </c>
      <c r="I10">
        <f t="shared" ref="I10:I17" si="0">F10*G10</f>
        <v>11.36</v>
      </c>
      <c r="J10">
        <v>0.54</v>
      </c>
      <c r="K10">
        <f t="shared" ref="K10:K17" si="1">(F10*J10)-H10</f>
        <v>1.23</v>
      </c>
      <c r="P10" t="s">
        <v>59</v>
      </c>
      <c r="Q10" t="s">
        <v>62</v>
      </c>
    </row>
    <row r="11" spans="4:17" x14ac:dyDescent="0.3">
      <c r="D11">
        <v>20228</v>
      </c>
      <c r="E11" t="s">
        <v>6</v>
      </c>
      <c r="F11">
        <v>12</v>
      </c>
      <c r="G11">
        <v>500.98</v>
      </c>
      <c r="H11">
        <v>26</v>
      </c>
      <c r="I11">
        <f t="shared" si="0"/>
        <v>6011.76</v>
      </c>
      <c r="J11">
        <v>0.6</v>
      </c>
      <c r="K11">
        <f t="shared" si="1"/>
        <v>-18.8</v>
      </c>
      <c r="P11" t="s">
        <v>60</v>
      </c>
      <c r="Q11" t="s">
        <v>63</v>
      </c>
    </row>
    <row r="12" spans="4:17" x14ac:dyDescent="0.3">
      <c r="D12">
        <v>21776</v>
      </c>
      <c r="E12" t="s">
        <v>7</v>
      </c>
      <c r="F12">
        <v>22</v>
      </c>
      <c r="G12">
        <v>9.48</v>
      </c>
      <c r="H12">
        <v>7.29</v>
      </c>
      <c r="I12">
        <f t="shared" si="0"/>
        <v>208.56</v>
      </c>
      <c r="J12">
        <v>0.45</v>
      </c>
      <c r="K12">
        <f t="shared" si="1"/>
        <v>2.6100000000000003</v>
      </c>
    </row>
    <row r="13" spans="4:17" x14ac:dyDescent="0.3">
      <c r="D13">
        <v>24844</v>
      </c>
      <c r="E13" t="s">
        <v>8</v>
      </c>
      <c r="F13">
        <v>16</v>
      </c>
      <c r="G13">
        <v>78.69</v>
      </c>
      <c r="H13">
        <v>19.989999999999998</v>
      </c>
      <c r="I13">
        <f t="shared" si="0"/>
        <v>1259.04</v>
      </c>
      <c r="J13">
        <v>0.43</v>
      </c>
      <c r="K13">
        <f t="shared" si="1"/>
        <v>-13.11</v>
      </c>
    </row>
    <row r="14" spans="4:17" x14ac:dyDescent="0.3">
      <c r="D14">
        <v>24846</v>
      </c>
      <c r="E14" t="s">
        <v>8</v>
      </c>
      <c r="F14">
        <v>7</v>
      </c>
      <c r="G14">
        <v>3.28</v>
      </c>
      <c r="H14">
        <v>2.31</v>
      </c>
      <c r="I14">
        <f t="shared" si="0"/>
        <v>22.959999999999997</v>
      </c>
      <c r="J14">
        <v>0.56000000000000005</v>
      </c>
      <c r="K14">
        <f t="shared" si="1"/>
        <v>1.6100000000000003</v>
      </c>
    </row>
    <row r="15" spans="4:17" x14ac:dyDescent="0.3">
      <c r="D15">
        <v>24847</v>
      </c>
      <c r="E15" t="s">
        <v>8</v>
      </c>
      <c r="F15">
        <v>4</v>
      </c>
      <c r="G15">
        <v>3.28</v>
      </c>
      <c r="H15">
        <v>4.2</v>
      </c>
      <c r="I15">
        <f t="shared" si="0"/>
        <v>13.12</v>
      </c>
      <c r="J15">
        <v>0.56000000000000005</v>
      </c>
      <c r="K15">
        <f t="shared" si="1"/>
        <v>-1.96</v>
      </c>
    </row>
    <row r="16" spans="4:17" x14ac:dyDescent="0.3">
      <c r="D16">
        <v>24848</v>
      </c>
      <c r="E16" t="s">
        <v>8</v>
      </c>
      <c r="F16">
        <v>4</v>
      </c>
      <c r="G16">
        <v>3.58</v>
      </c>
      <c r="H16">
        <v>1.63</v>
      </c>
      <c r="I16">
        <f t="shared" si="0"/>
        <v>14.32</v>
      </c>
      <c r="J16">
        <v>0.36</v>
      </c>
      <c r="K16">
        <f t="shared" si="1"/>
        <v>-0.18999999999999995</v>
      </c>
    </row>
    <row r="17" spans="4:11" x14ac:dyDescent="0.3">
      <c r="D17">
        <v>18181</v>
      </c>
      <c r="E17" t="s">
        <v>7</v>
      </c>
      <c r="F17">
        <v>7</v>
      </c>
      <c r="G17">
        <v>4.42</v>
      </c>
      <c r="H17">
        <v>4.99</v>
      </c>
      <c r="I17">
        <f t="shared" si="0"/>
        <v>30.939999999999998</v>
      </c>
      <c r="J17">
        <v>0.38</v>
      </c>
      <c r="K17">
        <f t="shared" si="1"/>
        <v>-2.33</v>
      </c>
    </row>
    <row r="18" spans="4:11" x14ac:dyDescent="0.3">
      <c r="D18">
        <v>20925</v>
      </c>
      <c r="E18" t="s">
        <v>8</v>
      </c>
      <c r="F18">
        <v>10</v>
      </c>
      <c r="G18">
        <v>35.94</v>
      </c>
      <c r="H18">
        <v>6.66</v>
      </c>
      <c r="I18">
        <f t="shared" ref="I18:I24" si="2">F18*G18</f>
        <v>359.4</v>
      </c>
      <c r="J18">
        <v>0.4</v>
      </c>
      <c r="K18">
        <f t="shared" ref="K18:K24" si="3">(F18*J18)-H18</f>
        <v>-2.66</v>
      </c>
    </row>
    <row r="19" spans="4:11" x14ac:dyDescent="0.3">
      <c r="D19">
        <v>26267</v>
      </c>
      <c r="E19" t="s">
        <v>5</v>
      </c>
      <c r="F19">
        <v>6</v>
      </c>
      <c r="G19">
        <v>2.98</v>
      </c>
      <c r="H19">
        <v>1.58</v>
      </c>
      <c r="I19">
        <f t="shared" si="2"/>
        <v>17.88</v>
      </c>
      <c r="J19">
        <v>0.39</v>
      </c>
      <c r="K19">
        <f t="shared" si="3"/>
        <v>0.75999999999999979</v>
      </c>
    </row>
    <row r="20" spans="4:11" x14ac:dyDescent="0.3">
      <c r="D20">
        <v>26268</v>
      </c>
      <c r="E20" t="s">
        <v>5</v>
      </c>
      <c r="F20">
        <v>10</v>
      </c>
      <c r="G20">
        <v>115.99</v>
      </c>
      <c r="H20">
        <v>2.5</v>
      </c>
      <c r="I20">
        <f t="shared" si="2"/>
        <v>1159.8999999999999</v>
      </c>
      <c r="J20">
        <v>0.55000000000000004</v>
      </c>
      <c r="K20">
        <f t="shared" si="3"/>
        <v>3</v>
      </c>
    </row>
    <row r="21" spans="4:11" x14ac:dyDescent="0.3">
      <c r="D21">
        <v>23890</v>
      </c>
      <c r="E21" t="s">
        <v>5</v>
      </c>
      <c r="F21">
        <v>17</v>
      </c>
      <c r="G21">
        <v>26.48</v>
      </c>
      <c r="H21">
        <v>6.93</v>
      </c>
      <c r="I21">
        <f t="shared" si="2"/>
        <v>450.16</v>
      </c>
      <c r="J21">
        <v>0.49</v>
      </c>
      <c r="K21">
        <f t="shared" si="3"/>
        <v>1.4000000000000004</v>
      </c>
    </row>
    <row r="22" spans="4:11" x14ac:dyDescent="0.3">
      <c r="D22">
        <v>24063</v>
      </c>
      <c r="E22" t="s">
        <v>6</v>
      </c>
      <c r="F22">
        <v>18</v>
      </c>
      <c r="G22">
        <v>12.99</v>
      </c>
      <c r="H22">
        <v>9.44</v>
      </c>
      <c r="I22">
        <f t="shared" si="2"/>
        <v>233.82</v>
      </c>
      <c r="J22">
        <v>0.39</v>
      </c>
      <c r="K22">
        <f t="shared" si="3"/>
        <v>-2.419999999999999</v>
      </c>
    </row>
    <row r="23" spans="4:11" x14ac:dyDescent="0.3">
      <c r="D23">
        <v>5890</v>
      </c>
      <c r="E23" t="s">
        <v>5</v>
      </c>
      <c r="F23">
        <v>70</v>
      </c>
      <c r="G23">
        <v>26.48</v>
      </c>
      <c r="H23">
        <v>6.93</v>
      </c>
      <c r="I23">
        <f t="shared" si="2"/>
        <v>1853.6000000000001</v>
      </c>
      <c r="J23">
        <v>0.49</v>
      </c>
      <c r="K23">
        <f t="shared" si="3"/>
        <v>27.369999999999997</v>
      </c>
    </row>
    <row r="24" spans="4:11" x14ac:dyDescent="0.3">
      <c r="D24">
        <v>6062</v>
      </c>
      <c r="E24" t="s">
        <v>6</v>
      </c>
      <c r="F24">
        <v>58</v>
      </c>
      <c r="G24">
        <v>5</v>
      </c>
      <c r="H24">
        <v>3.39</v>
      </c>
      <c r="I24">
        <f t="shared" si="2"/>
        <v>290</v>
      </c>
      <c r="J24">
        <v>0.37</v>
      </c>
      <c r="K24">
        <f t="shared" si="3"/>
        <v>18.07</v>
      </c>
    </row>
    <row r="25" spans="4:11" x14ac:dyDescent="0.3">
      <c r="D25">
        <v>6063</v>
      </c>
      <c r="E25" t="s">
        <v>6</v>
      </c>
      <c r="F25">
        <v>71</v>
      </c>
      <c r="G25">
        <v>12.99</v>
      </c>
      <c r="H25">
        <v>9.44</v>
      </c>
      <c r="J25">
        <v>0.39</v>
      </c>
    </row>
    <row r="26" spans="4:11" x14ac:dyDescent="0.3">
      <c r="D26">
        <v>20631</v>
      </c>
      <c r="E26" t="s">
        <v>5</v>
      </c>
      <c r="F26">
        <v>1</v>
      </c>
      <c r="G26">
        <v>55.48</v>
      </c>
      <c r="H26">
        <v>14.3</v>
      </c>
      <c r="J26">
        <v>0.37</v>
      </c>
    </row>
    <row r="27" spans="4:11" x14ac:dyDescent="0.3">
      <c r="D27">
        <v>20632</v>
      </c>
      <c r="E27" t="s">
        <v>5</v>
      </c>
      <c r="F27">
        <v>1</v>
      </c>
      <c r="G27">
        <v>1.68</v>
      </c>
      <c r="H27">
        <v>1.57</v>
      </c>
      <c r="J27">
        <v>0.59</v>
      </c>
    </row>
    <row r="28" spans="4:11" x14ac:dyDescent="0.3">
      <c r="D28">
        <v>23967</v>
      </c>
      <c r="E28" t="s">
        <v>6</v>
      </c>
      <c r="F28">
        <v>12</v>
      </c>
      <c r="G28">
        <v>4.1399999999999997</v>
      </c>
      <c r="H28">
        <v>6.6</v>
      </c>
      <c r="J28">
        <v>0.49</v>
      </c>
    </row>
    <row r="29" spans="4:11" x14ac:dyDescent="0.3">
      <c r="D29">
        <v>23509</v>
      </c>
      <c r="E29" t="s">
        <v>5</v>
      </c>
      <c r="F29">
        <v>13</v>
      </c>
      <c r="G29">
        <v>34.99</v>
      </c>
      <c r="H29">
        <v>7.73</v>
      </c>
      <c r="J29">
        <v>0.59</v>
      </c>
    </row>
    <row r="30" spans="4:11" x14ac:dyDescent="0.3">
      <c r="D30">
        <v>23612</v>
      </c>
      <c r="E30" t="s">
        <v>5</v>
      </c>
      <c r="F30">
        <v>2</v>
      </c>
      <c r="G30">
        <v>17.98</v>
      </c>
      <c r="H30">
        <v>8.51</v>
      </c>
      <c r="J30">
        <v>0.4</v>
      </c>
    </row>
    <row r="31" spans="4:11" x14ac:dyDescent="0.3">
      <c r="D31">
        <v>23278</v>
      </c>
      <c r="E31" t="s">
        <v>8</v>
      </c>
      <c r="F31">
        <v>8</v>
      </c>
      <c r="G31">
        <v>125.99</v>
      </c>
      <c r="H31">
        <v>7.69</v>
      </c>
      <c r="J31">
        <v>0.59</v>
      </c>
    </row>
    <row r="32" spans="4:11" x14ac:dyDescent="0.3">
      <c r="D32">
        <v>19355</v>
      </c>
      <c r="E32" t="s">
        <v>9</v>
      </c>
      <c r="F32">
        <v>22</v>
      </c>
      <c r="G32">
        <v>205.99</v>
      </c>
      <c r="H32">
        <v>8.99</v>
      </c>
      <c r="J32">
        <v>0.56000000000000005</v>
      </c>
    </row>
    <row r="33" spans="4:10" x14ac:dyDescent="0.3">
      <c r="D33">
        <v>23654</v>
      </c>
      <c r="E33" t="s">
        <v>6</v>
      </c>
      <c r="F33">
        <v>13</v>
      </c>
      <c r="G33">
        <v>4.24</v>
      </c>
      <c r="H33">
        <v>5.41</v>
      </c>
      <c r="J33">
        <v>0.35</v>
      </c>
    </row>
    <row r="34" spans="4:10" x14ac:dyDescent="0.3">
      <c r="D34">
        <v>23655</v>
      </c>
      <c r="E34" t="s">
        <v>6</v>
      </c>
      <c r="F34">
        <v>18</v>
      </c>
      <c r="G34">
        <v>2.94</v>
      </c>
      <c r="H34">
        <v>0.7</v>
      </c>
      <c r="J34">
        <v>0.57999999999999996</v>
      </c>
    </row>
    <row r="35" spans="4:10" x14ac:dyDescent="0.3">
      <c r="D35">
        <v>25933</v>
      </c>
      <c r="E35" t="s">
        <v>5</v>
      </c>
      <c r="F35">
        <v>6</v>
      </c>
      <c r="G35">
        <v>99.99</v>
      </c>
      <c r="H35">
        <v>19.989999999999998</v>
      </c>
      <c r="J35">
        <v>0.52</v>
      </c>
    </row>
    <row r="36" spans="4:10" x14ac:dyDescent="0.3">
      <c r="D36">
        <v>20697</v>
      </c>
      <c r="E36" t="s">
        <v>8</v>
      </c>
      <c r="F36">
        <v>6</v>
      </c>
      <c r="G36">
        <v>115.99</v>
      </c>
      <c r="H36">
        <v>2.5</v>
      </c>
      <c r="J36">
        <v>0.56999999999999995</v>
      </c>
    </row>
    <row r="37" spans="4:10" x14ac:dyDescent="0.3">
      <c r="D37">
        <v>20698</v>
      </c>
      <c r="E37" t="s">
        <v>8</v>
      </c>
      <c r="F37">
        <v>1</v>
      </c>
      <c r="G37">
        <v>3502.14</v>
      </c>
      <c r="H37">
        <v>8.73</v>
      </c>
      <c r="J37">
        <v>0.56999999999999995</v>
      </c>
    </row>
    <row r="38" spans="4:10" x14ac:dyDescent="0.3">
      <c r="D38">
        <v>22890</v>
      </c>
      <c r="E38" t="s">
        <v>5</v>
      </c>
      <c r="F38">
        <v>17</v>
      </c>
      <c r="G38">
        <v>175.99</v>
      </c>
      <c r="H38">
        <v>5.79</v>
      </c>
      <c r="J38">
        <v>0.36</v>
      </c>
    </row>
    <row r="39" spans="4:10" x14ac:dyDescent="0.3">
      <c r="D39">
        <v>25354</v>
      </c>
      <c r="E39" t="s">
        <v>5</v>
      </c>
      <c r="F39">
        <v>20</v>
      </c>
      <c r="G39">
        <v>155.06</v>
      </c>
      <c r="H39">
        <v>1.49</v>
      </c>
      <c r="J39">
        <v>0.38</v>
      </c>
    </row>
    <row r="40" spans="4:10" x14ac:dyDescent="0.3">
      <c r="D40">
        <v>21017</v>
      </c>
      <c r="E40" t="s">
        <v>6</v>
      </c>
      <c r="F40">
        <v>17</v>
      </c>
      <c r="G40">
        <v>5.98</v>
      </c>
      <c r="H40">
        <v>0.7</v>
      </c>
      <c r="J40">
        <v>0.56000000000000005</v>
      </c>
    </row>
    <row r="41" spans="4:10" x14ac:dyDescent="0.3">
      <c r="D41">
        <v>21019</v>
      </c>
      <c r="E41" t="s">
        <v>6</v>
      </c>
      <c r="F41">
        <v>3</v>
      </c>
      <c r="G41">
        <v>29.14</v>
      </c>
      <c r="H41">
        <v>5.15</v>
      </c>
      <c r="J41">
        <v>0.36</v>
      </c>
    </row>
    <row r="42" spans="4:10" x14ac:dyDescent="0.3">
      <c r="D42">
        <v>23274</v>
      </c>
      <c r="E42" t="s">
        <v>9</v>
      </c>
      <c r="F42">
        <v>17</v>
      </c>
      <c r="G42">
        <v>3.69</v>
      </c>
      <c r="H42">
        <v>4.8600000000000003</v>
      </c>
      <c r="J42">
        <v>0.38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1</vt:lpstr>
      <vt:lpstr>2</vt:lpstr>
      <vt:lpstr>Sheet1</vt:lpstr>
      <vt:lpstr>RECORD MACRO</vt:lpstr>
      <vt:lpstr>QUALIFICATION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Abhinav Kumbalwar</cp:lastModifiedBy>
  <dcterms:created xsi:type="dcterms:W3CDTF">2015-06-05T18:17:20Z</dcterms:created>
  <dcterms:modified xsi:type="dcterms:W3CDTF">2024-01-05T09:26:47Z</dcterms:modified>
</cp:coreProperties>
</file>